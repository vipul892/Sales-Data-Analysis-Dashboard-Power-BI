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imelines/timeline1.xml" ContentType="application/vnd.ms-excel.timelin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vipul\Excel\"/>
    </mc:Choice>
  </mc:AlternateContent>
  <xr:revisionPtr revIDLastSave="0" documentId="13_ncr:1_{D7B74AA7-60B3-4239-B238-F0BC86AE32AD}" xr6:coauthVersionLast="47" xr6:coauthVersionMax="47" xr10:uidLastSave="{00000000-0000-0000-0000-000000000000}"/>
  <bookViews>
    <workbookView xWindow="-120" yWindow="-120" windowWidth="20730" windowHeight="11760" activeTab="1" xr2:uid="{BF55755A-8807-43F9-A6CD-22670DEEB52B}"/>
  </bookViews>
  <sheets>
    <sheet name="Pivot table" sheetId="3" r:id="rId1"/>
    <sheet name="Sheet1" sheetId="4" r:id="rId2"/>
  </sheets>
  <definedNames>
    <definedName name="NativeTimeline_Order_Date">#N/A</definedName>
  </definedNames>
  <calcPr calcId="191029"/>
  <pivotCaches>
    <pivotCache cacheId="0" r:id="rId3"/>
    <pivotCache cacheId="35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<sst xmlns="http://schemas.openxmlformats.org/spreadsheetml/2006/main" count="197" uniqueCount="88">
  <si>
    <t>Product Name</t>
  </si>
  <si>
    <t>City</t>
  </si>
  <si>
    <t>Gender</t>
  </si>
  <si>
    <t>Washing Machine</t>
  </si>
  <si>
    <t>Mumbai</t>
  </si>
  <si>
    <t>Shoes</t>
  </si>
  <si>
    <t>Hyderabad</t>
  </si>
  <si>
    <t>AC</t>
  </si>
  <si>
    <t>Jaipur</t>
  </si>
  <si>
    <t>Mobile</t>
  </si>
  <si>
    <t>Laptop</t>
  </si>
  <si>
    <t>Surat</t>
  </si>
  <si>
    <t>Refrigerator</t>
  </si>
  <si>
    <t>Indore</t>
  </si>
  <si>
    <t>Headphones</t>
  </si>
  <si>
    <t>TV</t>
  </si>
  <si>
    <t>Chennai</t>
  </si>
  <si>
    <t>Bag</t>
  </si>
  <si>
    <t>Bengaluru</t>
  </si>
  <si>
    <t>Pune</t>
  </si>
  <si>
    <t>Delhi</t>
  </si>
  <si>
    <t>Kolkata</t>
  </si>
  <si>
    <t>Watch</t>
  </si>
  <si>
    <t>Sum of Amount</t>
  </si>
  <si>
    <t>(All)</t>
  </si>
  <si>
    <t>Sum of Amount2</t>
  </si>
  <si>
    <t>Grand Total</t>
  </si>
  <si>
    <t>Amit</t>
  </si>
  <si>
    <t>Neha</t>
  </si>
  <si>
    <t>Karan</t>
  </si>
  <si>
    <t>Sneha</t>
  </si>
  <si>
    <t>Rahul</t>
  </si>
  <si>
    <t>Pooja</t>
  </si>
  <si>
    <t>Vikas</t>
  </si>
  <si>
    <t>Manoj</t>
  </si>
  <si>
    <t>Suresh</t>
  </si>
  <si>
    <t>Arjun</t>
  </si>
  <si>
    <t>Meena</t>
  </si>
  <si>
    <t>Isha</t>
  </si>
  <si>
    <t>Rohit</t>
  </si>
  <si>
    <t>Row Labels</t>
  </si>
  <si>
    <t>Order_ID</t>
  </si>
  <si>
    <t>Order_Date</t>
  </si>
  <si>
    <t>Customer_Name</t>
  </si>
  <si>
    <t>Pizza_Name</t>
  </si>
  <si>
    <t>Size</t>
  </si>
  <si>
    <t>Quantity</t>
  </si>
  <si>
    <t>Price_Per_Pizza</t>
  </si>
  <si>
    <t>Total_Amount</t>
  </si>
  <si>
    <t>Payment_Mode</t>
  </si>
  <si>
    <t>Margherita</t>
  </si>
  <si>
    <t>Medium</t>
  </si>
  <si>
    <t>UPI</t>
  </si>
  <si>
    <t>Riya</t>
  </si>
  <si>
    <t>Farmhouse</t>
  </si>
  <si>
    <t>Large</t>
  </si>
  <si>
    <t>Card</t>
  </si>
  <si>
    <t>Peppy Paneer</t>
  </si>
  <si>
    <t>Small</t>
  </si>
  <si>
    <t>Cash</t>
  </si>
  <si>
    <t>Veg Extravaganza</t>
  </si>
  <si>
    <t>Bangalore</t>
  </si>
  <si>
    <t>Mexican Green Wave</t>
  </si>
  <si>
    <t>Anjali</t>
  </si>
  <si>
    <t>Cheese Burst</t>
  </si>
  <si>
    <t>Nagpur</t>
  </si>
  <si>
    <t>Bhopal</t>
  </si>
  <si>
    <t>Simran</t>
  </si>
  <si>
    <t>Amritsar</t>
  </si>
  <si>
    <t>Noida</t>
  </si>
  <si>
    <t>Kavita</t>
  </si>
  <si>
    <t>Gurgaon</t>
  </si>
  <si>
    <t>Deepak</t>
  </si>
  <si>
    <t>Faridabad</t>
  </si>
  <si>
    <t>Nisha</t>
  </si>
  <si>
    <t>Patna</t>
  </si>
  <si>
    <t>Ranchi</t>
  </si>
  <si>
    <t>Sunil</t>
  </si>
  <si>
    <t>Lucknow</t>
  </si>
  <si>
    <t>Kanpur</t>
  </si>
  <si>
    <t>2022</t>
  </si>
  <si>
    <t>2023</t>
  </si>
  <si>
    <t>2024</t>
  </si>
  <si>
    <t>2025</t>
  </si>
  <si>
    <t>Qtr1</t>
  </si>
  <si>
    <t>Qtr3</t>
  </si>
  <si>
    <t>Qtr4</t>
  </si>
  <si>
    <t>Qtr2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</si>
</sst>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2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0" fillId="0" borderId="8" xfId="0" applyBorder="1"/>
    <xf numFmtId="0" fontId="0" fillId="0" borderId="7" xfId="0" applyBorder="1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8" fontId="0" fillId="0" borderId="0" xfId="0" applyNumberFormat="1"/>
    <xf numFmtId="168" fontId="0" fillId="0" borderId="2" xfId="0" applyNumberFormat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</cellXfs>
  <cellStyles count="2">
    <cellStyle name="Normal" xfId="0" builtinId="0"/>
    <cellStyle name="Normal 2" xfId="1" xr:uid="{75CB0243-FBAE-4137-9F74-7A8E8FE697A6}"/>
  </cellStyles>
  <dxfs count="14"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8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438150</xdr:colOff>
      <xdr:row>9</xdr:row>
      <xdr:rowOff>9525</xdr:rowOff>
    </xdr:from>
    <xdr:to>
      <xdr:col>18</xdr:col>
      <xdr:colOff>85725</xdr:colOff>
      <xdr:row>16</xdr:row>
      <xdr:rowOff>85725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Order_Date">
              <a:extLst>
                <a:ext uri="{FF2B5EF4-FFF2-40B4-BE49-F238E27FC236}">
                  <a16:creationId xmlns:a16="http://schemas.microsoft.com/office/drawing/2014/main" id="{E5780C03-6922-3A8D-6F8D-D82B34A74A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68525" y="1638300"/>
              <a:ext cx="3333750" cy="134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pul alsundkar" refreshedDate="45998.720409490743" createdVersion="8" refreshedVersion="8" minRefreshableVersion="3" recordCount="100" xr:uid="{6AF9B250-4983-41AA-8FC5-F08B076E99CF}">
  <cacheSource type="worksheet">
    <worksheetSource ref="A3:E104" sheet="Sales Data"/>
  </cacheSource>
  <cacheFields count="5">
    <cacheField name="Company Name" numFmtId="0">
      <sharedItems/>
    </cacheField>
    <cacheField name="Product Name" numFmtId="0">
      <sharedItems count="10">
        <s v="Washing Machine"/>
        <s v="Shoes"/>
        <s v="AC"/>
        <s v="Mobile"/>
        <s v="Laptop"/>
        <s v="Refrigerator"/>
        <s v="Headphones"/>
        <s v="TV"/>
        <s v="Bag"/>
        <s v="Watch"/>
      </sharedItems>
    </cacheField>
    <cacheField name="City" numFmtId="0">
      <sharedItems count="10">
        <s v="Mumbai"/>
        <s v="Hyderabad"/>
        <s v="Jaipur"/>
        <s v="Surat"/>
        <s v="Indore"/>
        <s v="Chennai"/>
        <s v="Bengaluru"/>
        <s v="Pune"/>
        <s v="Delhi"/>
        <s v="Kolkata"/>
      </sharedItems>
    </cacheField>
    <cacheField name="Gender" numFmtId="0">
      <sharedItems count="2">
        <s v="Male"/>
        <s v="Female"/>
      </sharedItems>
    </cacheField>
    <cacheField name="Amount" numFmtId="0">
      <sharedItems containsSemiMixedTypes="0" containsString="0" containsNumber="1" containsInteger="1" minValue="623" maxValue="499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pul alsundkar" refreshedDate="46025.724528587962" createdVersion="8" refreshedVersion="8" minRefreshableVersion="3" recordCount="20" xr:uid="{3F184493-8839-41DA-BDC1-F92DC56C6E46}">
  <cacheSource type="worksheet">
    <worksheetSource name="Table3"/>
  </cacheSource>
  <cacheFields count="13">
    <cacheField name="Order_ID" numFmtId="0">
      <sharedItems containsSemiMixedTypes="0" containsString="0" containsNumber="1" containsInteger="1" minValue="1" maxValue="20"/>
    </cacheField>
    <cacheField name="Order_Date" numFmtId="168">
      <sharedItems containsSemiMixedTypes="0" containsNonDate="0" containsDate="1" containsString="0" minDate="2022-01-15T00:00:00" maxDate="2025-10-06T00:00:00" count="20">
        <d v="2022-01-15T00:00:00"/>
        <d v="2022-03-22T00:00:00"/>
        <d v="2022-07-10T00:00:00"/>
        <d v="2022-11-05T00:00:00"/>
        <d v="2023-02-14T00:00:00"/>
        <d v="2023-04-18T00:00:00"/>
        <d v="2023-06-09T00:00:00"/>
        <d v="2023-08-27T00:00:00"/>
        <d v="2023-10-12T00:00:00"/>
        <d v="2023-12-31T00:00:00"/>
        <d v="2024-01-07T00:00:00"/>
        <d v="2024-03-19T00:00:00"/>
        <d v="2024-05-25T00:00:00"/>
        <d v="2024-07-08T00:00:00"/>
        <d v="2024-09-16T00:00:00"/>
        <d v="2024-11-29T00:00:00"/>
        <d v="2025-01-11T00:00:00"/>
        <d v="2025-03-03T00:00:00"/>
        <d v="2025-06-20T00:00:00"/>
        <d v="2025-10-05T00:00:00"/>
      </sharedItems>
      <fieldGroup par="12"/>
    </cacheField>
    <cacheField name="Customer_Name" numFmtId="0">
      <sharedItems/>
    </cacheField>
    <cacheField name="Pizza_Name" numFmtId="0">
      <sharedItems/>
    </cacheField>
    <cacheField name="Size" numFmtId="0">
      <sharedItems/>
    </cacheField>
    <cacheField name="Quantity" numFmtId="0">
      <sharedItems containsSemiMixedTypes="0" containsString="0" containsNumber="1" containsInteger="1" minValue="1" maxValue="3"/>
    </cacheField>
    <cacheField name="Price_Per_Pizza" numFmtId="0">
      <sharedItems containsSemiMixedTypes="0" containsString="0" containsNumber="1" containsInteger="1" minValue="180" maxValue="560"/>
    </cacheField>
    <cacheField name="Total_Amount" numFmtId="0">
      <sharedItems containsSemiMixedTypes="0" containsString="0" containsNumber="1" containsInteger="1" minValue="180" maxValue="1200"/>
    </cacheField>
    <cacheField name="Payment_Mode" numFmtId="0">
      <sharedItems/>
    </cacheField>
    <cacheField name="City" numFmtId="0">
      <sharedItems/>
    </cacheField>
    <cacheField name="Months (Order_Date)" numFmtId="0" databaseField="0">
      <fieldGroup base="1">
        <rangePr groupBy="months" startDate="2022-01-15T00:00:00" endDate="2025-10-06T00:00:00"/>
        <groupItems count="14">
          <s v="&lt;15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10-2025"/>
        </groupItems>
      </fieldGroup>
    </cacheField>
    <cacheField name="Quarters (Order_Date)" numFmtId="0" databaseField="0">
      <fieldGroup base="1">
        <rangePr groupBy="quarters" startDate="2022-01-15T00:00:00" endDate="2025-10-06T00:00:00"/>
        <groupItems count="6">
          <s v="&lt;15-01-2022"/>
          <s v="Qtr1"/>
          <s v="Qtr2"/>
          <s v="Qtr3"/>
          <s v="Qtr4"/>
          <s v="&gt;06-10-2025"/>
        </groupItems>
      </fieldGroup>
    </cacheField>
    <cacheField name="Years (Order_Date)" numFmtId="0" databaseField="0">
      <fieldGroup base="1">
        <rangePr groupBy="years" startDate="2022-01-15T00:00:00" endDate="2025-10-06T00:00:00"/>
        <groupItems count="6">
          <s v="&lt;15-01-2022"/>
          <s v="2022"/>
          <s v="2023"/>
          <s v="2024"/>
          <s v="2025"/>
          <s v="&gt;06-10-2025"/>
        </groupItems>
      </fieldGroup>
    </cacheField>
  </cacheFields>
  <extLst>
    <ext xmlns:x14="http://schemas.microsoft.com/office/spreadsheetml/2009/9/main" uri="{725AE2AE-9491-48be-B2B4-4EB974FC3084}">
      <x14:pivotCacheDefinition pivotCacheId="13601156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Wipro"/>
    <x v="0"/>
    <x v="0"/>
    <x v="0"/>
    <n v="38068"/>
  </r>
  <r>
    <s v="Aditya Birla"/>
    <x v="1"/>
    <x v="1"/>
    <x v="1"/>
    <n v="2227"/>
  </r>
  <r>
    <s v="Wipro"/>
    <x v="2"/>
    <x v="2"/>
    <x v="1"/>
    <n v="37381"/>
  </r>
  <r>
    <s v="Flipkart"/>
    <x v="3"/>
    <x v="0"/>
    <x v="0"/>
    <n v="19037"/>
  </r>
  <r>
    <s v="Wipro"/>
    <x v="1"/>
    <x v="0"/>
    <x v="1"/>
    <n v="911"/>
  </r>
  <r>
    <s v="Tata Motors"/>
    <x v="1"/>
    <x v="1"/>
    <x v="0"/>
    <n v="49086"/>
  </r>
  <r>
    <s v="Flipkart"/>
    <x v="4"/>
    <x v="3"/>
    <x v="1"/>
    <n v="47069"/>
  </r>
  <r>
    <s v="Tata Motors"/>
    <x v="5"/>
    <x v="4"/>
    <x v="1"/>
    <n v="5374"/>
  </r>
  <r>
    <s v="Tata Motors"/>
    <x v="6"/>
    <x v="4"/>
    <x v="0"/>
    <n v="48065"/>
  </r>
  <r>
    <s v="HCL"/>
    <x v="3"/>
    <x v="2"/>
    <x v="1"/>
    <n v="12502"/>
  </r>
  <r>
    <s v="Aditya Birla"/>
    <x v="7"/>
    <x v="0"/>
    <x v="0"/>
    <n v="6991"/>
  </r>
  <r>
    <s v="Aditya Birla"/>
    <x v="1"/>
    <x v="5"/>
    <x v="0"/>
    <n v="23530"/>
  </r>
  <r>
    <s v="Tata Motors"/>
    <x v="6"/>
    <x v="2"/>
    <x v="1"/>
    <n v="30874"/>
  </r>
  <r>
    <s v="Wipro"/>
    <x v="8"/>
    <x v="6"/>
    <x v="1"/>
    <n v="29607"/>
  </r>
  <r>
    <s v="Wipro"/>
    <x v="1"/>
    <x v="7"/>
    <x v="1"/>
    <n v="34211"/>
  </r>
  <r>
    <s v="Reliance Retail"/>
    <x v="3"/>
    <x v="5"/>
    <x v="1"/>
    <n v="48823"/>
  </r>
  <r>
    <s v="Amazon India"/>
    <x v="4"/>
    <x v="2"/>
    <x v="1"/>
    <n v="26753"/>
  </r>
  <r>
    <s v="Amazon India"/>
    <x v="6"/>
    <x v="2"/>
    <x v="1"/>
    <n v="14269"/>
  </r>
  <r>
    <s v="Mahindra"/>
    <x v="6"/>
    <x v="3"/>
    <x v="1"/>
    <n v="17713"/>
  </r>
  <r>
    <s v="Aditya Birla"/>
    <x v="8"/>
    <x v="8"/>
    <x v="0"/>
    <n v="6171"/>
  </r>
  <r>
    <s v="Amazon India"/>
    <x v="2"/>
    <x v="9"/>
    <x v="1"/>
    <n v="38161"/>
  </r>
  <r>
    <s v="Infosys"/>
    <x v="6"/>
    <x v="1"/>
    <x v="1"/>
    <n v="47172"/>
  </r>
  <r>
    <s v="Wipro"/>
    <x v="1"/>
    <x v="0"/>
    <x v="1"/>
    <n v="38602"/>
  </r>
  <r>
    <s v="Wipro"/>
    <x v="2"/>
    <x v="1"/>
    <x v="0"/>
    <n v="9529"/>
  </r>
  <r>
    <s v="Amazon India"/>
    <x v="3"/>
    <x v="0"/>
    <x v="1"/>
    <n v="12423"/>
  </r>
  <r>
    <s v="Tata Motors"/>
    <x v="9"/>
    <x v="0"/>
    <x v="1"/>
    <n v="18637"/>
  </r>
  <r>
    <s v="Flipkart"/>
    <x v="4"/>
    <x v="1"/>
    <x v="1"/>
    <n v="36530"/>
  </r>
  <r>
    <s v="Mahindra"/>
    <x v="0"/>
    <x v="1"/>
    <x v="0"/>
    <n v="42178"/>
  </r>
  <r>
    <s v="Tata Motors"/>
    <x v="0"/>
    <x v="0"/>
    <x v="1"/>
    <n v="46471"/>
  </r>
  <r>
    <s v="Flipkart"/>
    <x v="7"/>
    <x v="7"/>
    <x v="0"/>
    <n v="39593"/>
  </r>
  <r>
    <s v="Wipro"/>
    <x v="2"/>
    <x v="8"/>
    <x v="0"/>
    <n v="11974"/>
  </r>
  <r>
    <s v="HCL"/>
    <x v="9"/>
    <x v="6"/>
    <x v="0"/>
    <n v="25037"/>
  </r>
  <r>
    <s v="Tata Motors"/>
    <x v="0"/>
    <x v="7"/>
    <x v="1"/>
    <n v="20945"/>
  </r>
  <r>
    <s v="Infosys"/>
    <x v="8"/>
    <x v="4"/>
    <x v="0"/>
    <n v="10708"/>
  </r>
  <r>
    <s v="HCL"/>
    <x v="1"/>
    <x v="0"/>
    <x v="1"/>
    <n v="13892"/>
  </r>
  <r>
    <s v="Infosys"/>
    <x v="8"/>
    <x v="1"/>
    <x v="0"/>
    <n v="37051"/>
  </r>
  <r>
    <s v="Amazon India"/>
    <x v="8"/>
    <x v="0"/>
    <x v="1"/>
    <n v="26082"/>
  </r>
  <r>
    <s v="Amazon India"/>
    <x v="5"/>
    <x v="1"/>
    <x v="1"/>
    <n v="7690"/>
  </r>
  <r>
    <s v="Amazon India"/>
    <x v="9"/>
    <x v="3"/>
    <x v="0"/>
    <n v="20356"/>
  </r>
  <r>
    <s v="Mahindra"/>
    <x v="3"/>
    <x v="6"/>
    <x v="0"/>
    <n v="21090"/>
  </r>
  <r>
    <s v="Aditya Birla"/>
    <x v="5"/>
    <x v="0"/>
    <x v="0"/>
    <n v="44247"/>
  </r>
  <r>
    <s v="Infosys"/>
    <x v="1"/>
    <x v="2"/>
    <x v="1"/>
    <n v="15183"/>
  </r>
  <r>
    <s v="HCL"/>
    <x v="0"/>
    <x v="9"/>
    <x v="0"/>
    <n v="46916"/>
  </r>
  <r>
    <s v="Reliance Retail"/>
    <x v="8"/>
    <x v="9"/>
    <x v="1"/>
    <n v="44309"/>
  </r>
  <r>
    <s v="Flipkart"/>
    <x v="5"/>
    <x v="2"/>
    <x v="0"/>
    <n v="28600"/>
  </r>
  <r>
    <s v="Tata Motors"/>
    <x v="1"/>
    <x v="6"/>
    <x v="0"/>
    <n v="49975"/>
  </r>
  <r>
    <s v="Infosys"/>
    <x v="1"/>
    <x v="0"/>
    <x v="1"/>
    <n v="13382"/>
  </r>
  <r>
    <s v="L&amp;T"/>
    <x v="9"/>
    <x v="4"/>
    <x v="1"/>
    <n v="41861"/>
  </r>
  <r>
    <s v="Wipro"/>
    <x v="8"/>
    <x v="7"/>
    <x v="1"/>
    <n v="14520"/>
  </r>
  <r>
    <s v="HCL"/>
    <x v="2"/>
    <x v="8"/>
    <x v="0"/>
    <n v="27050"/>
  </r>
  <r>
    <s v="Flipkart"/>
    <x v="0"/>
    <x v="3"/>
    <x v="0"/>
    <n v="758"/>
  </r>
  <r>
    <s v="Wipro"/>
    <x v="4"/>
    <x v="1"/>
    <x v="0"/>
    <n v="38399"/>
  </r>
  <r>
    <s v="Infosys"/>
    <x v="3"/>
    <x v="0"/>
    <x v="0"/>
    <n v="10100"/>
  </r>
  <r>
    <s v="Flipkart"/>
    <x v="2"/>
    <x v="8"/>
    <x v="1"/>
    <n v="10312"/>
  </r>
  <r>
    <s v="Tata Motors"/>
    <x v="9"/>
    <x v="0"/>
    <x v="1"/>
    <n v="2606"/>
  </r>
  <r>
    <s v="Amazon India"/>
    <x v="4"/>
    <x v="8"/>
    <x v="0"/>
    <n v="49771"/>
  </r>
  <r>
    <s v="Aditya Birla"/>
    <x v="7"/>
    <x v="7"/>
    <x v="0"/>
    <n v="8666"/>
  </r>
  <r>
    <s v="HCL"/>
    <x v="9"/>
    <x v="8"/>
    <x v="0"/>
    <n v="9863"/>
  </r>
  <r>
    <s v="Aditya Birla"/>
    <x v="4"/>
    <x v="3"/>
    <x v="1"/>
    <n v="17713"/>
  </r>
  <r>
    <s v="L&amp;T"/>
    <x v="8"/>
    <x v="7"/>
    <x v="0"/>
    <n v="35234"/>
  </r>
  <r>
    <s v="Amazon India"/>
    <x v="2"/>
    <x v="5"/>
    <x v="0"/>
    <n v="37112"/>
  </r>
  <r>
    <s v="Mahindra"/>
    <x v="2"/>
    <x v="4"/>
    <x v="0"/>
    <n v="12000"/>
  </r>
  <r>
    <s v="L&amp;T"/>
    <x v="7"/>
    <x v="0"/>
    <x v="0"/>
    <n v="13157"/>
  </r>
  <r>
    <s v="HCL"/>
    <x v="7"/>
    <x v="3"/>
    <x v="1"/>
    <n v="18307"/>
  </r>
  <r>
    <s v="Infosys"/>
    <x v="9"/>
    <x v="1"/>
    <x v="1"/>
    <n v="2713"/>
  </r>
  <r>
    <s v="Flipkart"/>
    <x v="1"/>
    <x v="3"/>
    <x v="0"/>
    <n v="20175"/>
  </r>
  <r>
    <s v="Amazon India"/>
    <x v="5"/>
    <x v="4"/>
    <x v="1"/>
    <n v="5070"/>
  </r>
  <r>
    <s v="Mahindra"/>
    <x v="7"/>
    <x v="7"/>
    <x v="1"/>
    <n v="39894"/>
  </r>
  <r>
    <s v="Tata Motors"/>
    <x v="4"/>
    <x v="7"/>
    <x v="0"/>
    <n v="42541"/>
  </r>
  <r>
    <s v="Tata Motors"/>
    <x v="8"/>
    <x v="1"/>
    <x v="1"/>
    <n v="30833"/>
  </r>
  <r>
    <s v="Tata Motors"/>
    <x v="0"/>
    <x v="9"/>
    <x v="0"/>
    <n v="25508"/>
  </r>
  <r>
    <s v="Aditya Birla"/>
    <x v="9"/>
    <x v="4"/>
    <x v="1"/>
    <n v="32890"/>
  </r>
  <r>
    <s v="L&amp;T"/>
    <x v="2"/>
    <x v="6"/>
    <x v="0"/>
    <n v="36951"/>
  </r>
  <r>
    <s v="Tata Motors"/>
    <x v="2"/>
    <x v="8"/>
    <x v="0"/>
    <n v="14619"/>
  </r>
  <r>
    <s v="HCL"/>
    <x v="3"/>
    <x v="7"/>
    <x v="0"/>
    <n v="37857"/>
  </r>
  <r>
    <s v="L&amp;T"/>
    <x v="0"/>
    <x v="6"/>
    <x v="0"/>
    <n v="35331"/>
  </r>
  <r>
    <s v="HCL"/>
    <x v="2"/>
    <x v="2"/>
    <x v="1"/>
    <n v="16664"/>
  </r>
  <r>
    <s v="L&amp;T"/>
    <x v="5"/>
    <x v="3"/>
    <x v="1"/>
    <n v="13093"/>
  </r>
  <r>
    <s v="Infosys"/>
    <x v="2"/>
    <x v="0"/>
    <x v="0"/>
    <n v="7166"/>
  </r>
  <r>
    <s v="HCL"/>
    <x v="8"/>
    <x v="3"/>
    <x v="0"/>
    <n v="10100"/>
  </r>
  <r>
    <s v="Tata Motors"/>
    <x v="3"/>
    <x v="6"/>
    <x v="1"/>
    <n v="1077"/>
  </r>
  <r>
    <s v="Infosys"/>
    <x v="9"/>
    <x v="0"/>
    <x v="1"/>
    <n v="17144"/>
  </r>
  <r>
    <s v="Amazon India"/>
    <x v="4"/>
    <x v="4"/>
    <x v="1"/>
    <n v="21356"/>
  </r>
  <r>
    <s v="Wipro"/>
    <x v="1"/>
    <x v="4"/>
    <x v="1"/>
    <n v="34085"/>
  </r>
  <r>
    <s v="HCL"/>
    <x v="6"/>
    <x v="8"/>
    <x v="0"/>
    <n v="6671"/>
  </r>
  <r>
    <s v="Aditya Birla"/>
    <x v="9"/>
    <x v="2"/>
    <x v="0"/>
    <n v="49826"/>
  </r>
  <r>
    <s v="Flipkart"/>
    <x v="9"/>
    <x v="1"/>
    <x v="0"/>
    <n v="32361"/>
  </r>
  <r>
    <s v="Wipro"/>
    <x v="9"/>
    <x v="7"/>
    <x v="1"/>
    <n v="24018"/>
  </r>
  <r>
    <s v="Flipkart"/>
    <x v="9"/>
    <x v="7"/>
    <x v="1"/>
    <n v="49255"/>
  </r>
  <r>
    <s v="Aditya Birla"/>
    <x v="7"/>
    <x v="2"/>
    <x v="1"/>
    <n v="40752"/>
  </r>
  <r>
    <s v="Flipkart"/>
    <x v="2"/>
    <x v="7"/>
    <x v="1"/>
    <n v="34980"/>
  </r>
  <r>
    <s v="Reliance Retail"/>
    <x v="4"/>
    <x v="8"/>
    <x v="1"/>
    <n v="623"/>
  </r>
  <r>
    <s v="HCL"/>
    <x v="2"/>
    <x v="9"/>
    <x v="0"/>
    <n v="3909"/>
  </r>
  <r>
    <s v="Infosys"/>
    <x v="5"/>
    <x v="8"/>
    <x v="0"/>
    <n v="44435"/>
  </r>
  <r>
    <s v="L&amp;T"/>
    <x v="3"/>
    <x v="4"/>
    <x v="0"/>
    <n v="39835"/>
  </r>
  <r>
    <s v="HCL"/>
    <x v="6"/>
    <x v="2"/>
    <x v="0"/>
    <n v="41319"/>
  </r>
  <r>
    <s v="Infosys"/>
    <x v="0"/>
    <x v="8"/>
    <x v="1"/>
    <n v="46784"/>
  </r>
  <r>
    <s v="Wipro"/>
    <x v="2"/>
    <x v="4"/>
    <x v="1"/>
    <n v="34819"/>
  </r>
  <r>
    <s v="L&amp;T"/>
    <x v="7"/>
    <x v="0"/>
    <x v="1"/>
    <n v="43429"/>
  </r>
  <r>
    <s v="HCL"/>
    <x v="5"/>
    <x v="6"/>
    <x v="0"/>
    <n v="440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s v="Amit"/>
    <s v="Margherita"/>
    <s v="Medium"/>
    <n v="2"/>
    <n v="250"/>
    <n v="500"/>
    <s v="UPI"/>
    <s v="Mumbai"/>
  </r>
  <r>
    <n v="2"/>
    <x v="1"/>
    <s v="Riya"/>
    <s v="Farmhouse"/>
    <s v="Large"/>
    <n v="1"/>
    <n v="450"/>
    <n v="450"/>
    <s v="Card"/>
    <s v="Pune"/>
  </r>
  <r>
    <n v="3"/>
    <x v="2"/>
    <s v="Rahul"/>
    <s v="Peppy Paneer"/>
    <s v="Small"/>
    <n v="3"/>
    <n v="200"/>
    <n v="600"/>
    <s v="Cash"/>
    <s v="Delhi"/>
  </r>
  <r>
    <n v="4"/>
    <x v="3"/>
    <s v="Sneha"/>
    <s v="Veg Extravaganza"/>
    <s v="Large"/>
    <n v="2"/>
    <n v="500"/>
    <n v="1000"/>
    <s v="UPI"/>
    <s v="Bangalore"/>
  </r>
  <r>
    <n v="5"/>
    <x v="4"/>
    <s v="Vikas"/>
    <s v="Mexican Green Wave"/>
    <s v="Medium"/>
    <n v="1"/>
    <n v="300"/>
    <n v="300"/>
    <s v="Card"/>
    <s v="Chennai"/>
  </r>
  <r>
    <n v="6"/>
    <x v="5"/>
    <s v="Anjali"/>
    <s v="Cheese Burst"/>
    <s v="Large"/>
    <n v="2"/>
    <n v="550"/>
    <n v="1100"/>
    <s v="UPI"/>
    <s v="Hyderabad"/>
  </r>
  <r>
    <n v="7"/>
    <x v="6"/>
    <s v="Karan"/>
    <s v="Margherita"/>
    <s v="Small"/>
    <n v="1"/>
    <n v="180"/>
    <n v="180"/>
    <s v="Cash"/>
    <s v="Jaipur"/>
  </r>
  <r>
    <n v="8"/>
    <x v="7"/>
    <s v="Neha"/>
    <s v="Farmhouse"/>
    <s v="Medium"/>
    <n v="2"/>
    <n v="350"/>
    <n v="700"/>
    <s v="Card"/>
    <s v="Indore"/>
  </r>
  <r>
    <n v="9"/>
    <x v="8"/>
    <s v="Suresh"/>
    <s v="Peppy Paneer"/>
    <s v="Large"/>
    <n v="1"/>
    <n v="480"/>
    <n v="480"/>
    <s v="UPI"/>
    <s v="Surat"/>
  </r>
  <r>
    <n v="10"/>
    <x v="9"/>
    <s v="Pooja"/>
    <s v="Veg Extravaganza"/>
    <s v="Medium"/>
    <n v="3"/>
    <n v="400"/>
    <n v="1200"/>
    <s v="Card"/>
    <s v="Nagpur"/>
  </r>
  <r>
    <n v="11"/>
    <x v="10"/>
    <s v="Rohit"/>
    <s v="Mexican Green Wave"/>
    <s v="Small"/>
    <n v="2"/>
    <n v="220"/>
    <n v="440"/>
    <s v="Cash"/>
    <s v="Bhopal"/>
  </r>
  <r>
    <n v="12"/>
    <x v="11"/>
    <s v="Simran"/>
    <s v="Cheese Burst"/>
    <s v="Large"/>
    <n v="1"/>
    <n v="560"/>
    <n v="560"/>
    <s v="UPI"/>
    <s v="Amritsar"/>
  </r>
  <r>
    <n v="13"/>
    <x v="12"/>
    <s v="Arjun"/>
    <s v="Margherita"/>
    <s v="Medium"/>
    <n v="2"/>
    <n v="260"/>
    <n v="520"/>
    <s v="Card"/>
    <s v="Noida"/>
  </r>
  <r>
    <n v="14"/>
    <x v="13"/>
    <s v="Kavita"/>
    <s v="Farmhouse"/>
    <s v="Small"/>
    <n v="3"/>
    <n v="210"/>
    <n v="630"/>
    <s v="Cash"/>
    <s v="Gurgaon"/>
  </r>
  <r>
    <n v="15"/>
    <x v="14"/>
    <s v="Deepak"/>
    <s v="Peppy Paneer"/>
    <s v="Medium"/>
    <n v="1"/>
    <n v="330"/>
    <n v="330"/>
    <s v="UPI"/>
    <s v="Faridabad"/>
  </r>
  <r>
    <n v="16"/>
    <x v="15"/>
    <s v="Nisha"/>
    <s v="Veg Extravaganza"/>
    <s v="Large"/>
    <n v="2"/>
    <n v="520"/>
    <n v="1040"/>
    <s v="Card"/>
    <s v="Kolkata"/>
  </r>
  <r>
    <n v="17"/>
    <x v="16"/>
    <s v="Manoj"/>
    <s v="Mexican Green Wave"/>
    <s v="Medium"/>
    <n v="2"/>
    <n v="310"/>
    <n v="620"/>
    <s v="UPI"/>
    <s v="Patna"/>
  </r>
  <r>
    <n v="18"/>
    <x v="17"/>
    <s v="Isha"/>
    <s v="Cheese Burst"/>
    <s v="Small"/>
    <n v="1"/>
    <n v="240"/>
    <n v="240"/>
    <s v="Cash"/>
    <s v="Ranchi"/>
  </r>
  <r>
    <n v="19"/>
    <x v="18"/>
    <s v="Sunil"/>
    <s v="Margherita"/>
    <s v="Large"/>
    <n v="2"/>
    <n v="480"/>
    <n v="960"/>
    <s v="Card"/>
    <s v="Lucknow"/>
  </r>
  <r>
    <n v="20"/>
    <x v="19"/>
    <s v="Meena"/>
    <s v="Farmhouse"/>
    <s v="Medium"/>
    <n v="1"/>
    <n v="360"/>
    <n v="360"/>
    <s v="UPI"/>
    <s v="Kanpu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BA115-F481-48C3-8802-AD960C25B0A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7" rowHeaderCaption="Product Name">
  <location ref="A3:D74" firstHeaderRow="0" firstDataRow="1" firstDataCol="2" rowPageCount="1" colPageCount="1"/>
  <pivotFields count="5">
    <pivotField compact="0" showAll="0" defaultSubtotal="0"/>
    <pivotField axis="axisRow" compact="0" showAll="0" defaultSubtotal="0">
      <items count="10">
        <item x="3"/>
        <item x="2"/>
        <item x="8"/>
        <item x="6"/>
        <item x="4"/>
        <item x="5"/>
        <item x="1"/>
        <item x="7"/>
        <item x="0"/>
        <item sd="0" x="9"/>
      </items>
    </pivotField>
    <pivotField axis="axisRow" compact="0" showAll="0" defaultSubtotal="0">
      <items count="10">
        <item sd="0" x="7"/>
        <item sd="0" x="0"/>
        <item sd="0" x="6"/>
        <item x="5"/>
        <item x="8"/>
        <item x="1"/>
        <item x="4"/>
        <item x="2"/>
        <item x="9"/>
        <item x="3"/>
      </items>
    </pivotField>
    <pivotField axis="axisPage" compact="0" multipleItemSelectionAllowed="1" showAll="0" defaultSubtotal="0">
      <items count="2">
        <item x="1"/>
        <item x="0"/>
      </items>
    </pivotField>
    <pivotField dataField="1" compact="0" showAll="0" defaultSubtotal="0"/>
  </pivotFields>
  <rowFields count="2">
    <field x="1"/>
    <field x="2"/>
  </rowFields>
  <rowItems count="71">
    <i>
      <x/>
    </i>
    <i r="1">
      <x/>
    </i>
    <i r="1">
      <x v="1"/>
    </i>
    <i r="1">
      <x v="2"/>
    </i>
    <i r="1">
      <x v="3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>
      <x v="3"/>
    </i>
    <i r="1">
      <x v="4"/>
    </i>
    <i r="1">
      <x v="5"/>
    </i>
    <i r="1">
      <x v="6"/>
    </i>
    <i r="1">
      <x v="7"/>
    </i>
    <i r="1">
      <x v="9"/>
    </i>
    <i>
      <x v="4"/>
    </i>
    <i r="1">
      <x/>
    </i>
    <i r="1">
      <x v="4"/>
    </i>
    <i r="1">
      <x v="5"/>
    </i>
    <i r="1">
      <x v="6"/>
    </i>
    <i r="1">
      <x v="7"/>
    </i>
    <i r="1">
      <x v="9"/>
    </i>
    <i>
      <x v="5"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>
      <x v="6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9"/>
    </i>
    <i>
      <x v="7"/>
    </i>
    <i r="1">
      <x/>
    </i>
    <i r="1">
      <x v="1"/>
    </i>
    <i r="1">
      <x v="7"/>
    </i>
    <i r="1">
      <x v="9"/>
    </i>
    <i>
      <x v="8"/>
    </i>
    <i r="1">
      <x/>
    </i>
    <i r="1">
      <x v="1"/>
    </i>
    <i r="1">
      <x v="2"/>
    </i>
    <i r="1">
      <x v="4"/>
    </i>
    <i r="1">
      <x v="5"/>
    </i>
    <i r="1">
      <x v="8"/>
    </i>
    <i r="1">
      <x v="9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Amount" fld="4" baseField="1" baseItem="0"/>
    <dataField name="Sum of Amount2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00018-DEDF-4C57-8097-F3B99E29E8B2}" name="PivotTable6" cacheId="35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O12:O21" firstHeaderRow="1" firstDataRow="1" firstDataCol="1"/>
  <pivotFields count="13">
    <pivotField showAll="0"/>
    <pivotField axis="axisRow" numFmtId="168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x="3"/>
        <item sd="0" x="4"/>
        <item sd="0" x="5"/>
        <item t="default"/>
      </items>
    </pivotField>
  </pivotFields>
  <rowFields count="4">
    <field x="12"/>
    <field x="11"/>
    <field x="10"/>
    <field x="1"/>
  </rowFields>
  <rowItems count="9">
    <i>
      <x v="1"/>
    </i>
    <i>
      <x v="2"/>
    </i>
    <i>
      <x v="3"/>
    </i>
    <i r="1">
      <x v="1"/>
    </i>
    <i r="1">
      <x v="2"/>
    </i>
    <i r="1">
      <x v="3"/>
    </i>
    <i r="1">
      <x v="4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D128B5-D767-447D-83E9-0D1EA0ED150D}" name="Table3" displayName="Table3" ref="C6:L26" totalsRowShown="0" headerRowDxfId="0" headerRowBorderDxfId="12" tableBorderDxfId="13" totalsRowBorderDxfId="11">
  <autoFilter ref="C6:L26" xr:uid="{97D128B5-D767-447D-83E9-0D1EA0ED150D}"/>
  <tableColumns count="10">
    <tableColumn id="1" xr3:uid="{78488097-A314-474F-BB0B-D0746058FFAF}" name="Order_ID" dataDxfId="10"/>
    <tableColumn id="2" xr3:uid="{7FBE6312-8C6A-4B7B-8584-577C50CCA289}" name="Order_Date" dataDxfId="9"/>
    <tableColumn id="3" xr3:uid="{EAF54D89-70BD-4825-BD5A-EC5E2F1BAE93}" name="Customer_Name" dataDxfId="8"/>
    <tableColumn id="4" xr3:uid="{57767DDD-CA61-4EF2-ADC0-3181AB119942}" name="Pizza_Name" dataDxfId="7"/>
    <tableColumn id="5" xr3:uid="{3D597D0E-4507-45CF-B6DE-80D71A09F6CF}" name="Size" dataDxfId="6"/>
    <tableColumn id="6" xr3:uid="{71C62F91-204E-4560-8CF1-A72FE8D93216}" name="Quantity" dataDxfId="5"/>
    <tableColumn id="7" xr3:uid="{19D9BA81-9614-40FB-B3F9-A1D3171928AC}" name="Price_Per_Pizza" dataDxfId="4"/>
    <tableColumn id="8" xr3:uid="{B2166252-BD1E-49C9-A7ED-761F90FABFF3}" name="Total_Amount" dataDxfId="3"/>
    <tableColumn id="9" xr3:uid="{4FE049AD-C5D1-4714-8887-73DE17E2C0E6}" name="Payment_Mode" dataDxfId="2"/>
    <tableColumn id="10" xr3:uid="{A17A265B-9774-43CF-A93C-F4D51F05F387}" name="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5A0E057B-E82C-49FB-8731-A55881B4A12D}" sourceName="Order_Date">
  <pivotTables>
    <pivotTable tabId="4" name="PivotTable6"/>
  </pivotTables>
  <state minimalRefreshVersion="6" lastRefreshVersion="6" pivotCacheId="1360115645" filterType="unknown">
    <bounds startDate="2022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37AF2793-0C5E-4646-A7EA-024AECC483B2}" cache="NativeTimeline_Order_Date" caption="Order_Date" level="2" selectionLevel="2" scrollPosition="2023-09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8C50-8FBC-4489-8521-95A71F6461F0}">
  <dimension ref="A1:D74"/>
  <sheetViews>
    <sheetView zoomScale="91" workbookViewId="0">
      <selection activeCell="B6" sqref="B5:B10 B12:B20 B22:B29 B31:B35 B37:B42 B44:B50 B52:B59 B61:B64 B66:B72"/>
      <pivotSelection pane="bottomRight" showHeader="1" axis="axisRow" dimension="1" activeRow="5" activeCol="1" previousRow="5" previousCol="1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4.25" x14ac:dyDescent="0.2"/>
  <cols>
    <col min="1" max="1" width="15.5" bestFit="1" customWidth="1"/>
    <col min="2" max="2" width="9.625" bestFit="1" customWidth="1"/>
    <col min="3" max="3" width="14.5" bestFit="1" customWidth="1"/>
    <col min="4" max="4" width="15.5" bestFit="1" customWidth="1"/>
    <col min="5" max="5" width="8.25" bestFit="1" customWidth="1"/>
    <col min="6" max="6" width="5.875" bestFit="1" customWidth="1"/>
    <col min="7" max="7" width="10.375" bestFit="1" customWidth="1"/>
    <col min="8" max="8" width="6.625" bestFit="1" customWidth="1"/>
    <col min="9" max="9" width="6.375" bestFit="1" customWidth="1"/>
    <col min="10" max="10" width="7.5" bestFit="1" customWidth="1"/>
    <col min="11" max="11" width="5.875" bestFit="1" customWidth="1"/>
    <col min="12" max="12" width="11.375" bestFit="1" customWidth="1"/>
    <col min="13" max="15" width="16.5" bestFit="1" customWidth="1"/>
    <col min="16" max="16" width="10.5" bestFit="1" customWidth="1"/>
    <col min="17" max="24" width="16.5" bestFit="1" customWidth="1"/>
    <col min="25" max="25" width="15.5" bestFit="1" customWidth="1"/>
    <col min="26" max="33" width="12.125" bestFit="1" customWidth="1"/>
    <col min="34" max="34" width="11.625" bestFit="1" customWidth="1"/>
    <col min="35" max="42" width="12.125" bestFit="1" customWidth="1"/>
    <col min="43" max="43" width="11.375" bestFit="1" customWidth="1"/>
    <col min="44" max="46" width="16.5" bestFit="1" customWidth="1"/>
    <col min="47" max="47" width="12.5" bestFit="1" customWidth="1"/>
    <col min="48" max="55" width="16.5" bestFit="1" customWidth="1"/>
    <col min="56" max="56" width="10.625" bestFit="1" customWidth="1"/>
    <col min="57" max="57" width="11.375" bestFit="1" customWidth="1"/>
  </cols>
  <sheetData>
    <row r="1" spans="1:4" x14ac:dyDescent="0.2">
      <c r="A1" s="1" t="s">
        <v>2</v>
      </c>
      <c r="B1" t="s">
        <v>24</v>
      </c>
    </row>
    <row r="3" spans="1:4" x14ac:dyDescent="0.2">
      <c r="A3" s="1" t="s">
        <v>0</v>
      </c>
      <c r="B3" s="1" t="s">
        <v>1</v>
      </c>
      <c r="C3" t="s">
        <v>23</v>
      </c>
      <c r="D3" t="s">
        <v>25</v>
      </c>
    </row>
    <row r="4" spans="1:4" x14ac:dyDescent="0.2">
      <c r="A4" t="s">
        <v>9</v>
      </c>
      <c r="C4" s="2"/>
      <c r="D4" s="2"/>
    </row>
    <row r="5" spans="1:4" x14ac:dyDescent="0.2">
      <c r="B5" t="s">
        <v>19</v>
      </c>
      <c r="C5" s="2">
        <v>37857</v>
      </c>
      <c r="D5" s="2">
        <v>37857</v>
      </c>
    </row>
    <row r="6" spans="1:4" x14ac:dyDescent="0.2">
      <c r="B6" t="s">
        <v>4</v>
      </c>
      <c r="C6" s="2">
        <v>41560</v>
      </c>
      <c r="D6" s="2">
        <v>41560</v>
      </c>
    </row>
    <row r="7" spans="1:4" x14ac:dyDescent="0.2">
      <c r="B7" t="s">
        <v>18</v>
      </c>
      <c r="C7" s="2">
        <v>22167</v>
      </c>
      <c r="D7" s="2">
        <v>22167</v>
      </c>
    </row>
    <row r="8" spans="1:4" x14ac:dyDescent="0.2">
      <c r="B8" t="s">
        <v>16</v>
      </c>
      <c r="C8" s="2">
        <v>48823</v>
      </c>
      <c r="D8" s="2">
        <v>48823</v>
      </c>
    </row>
    <row r="9" spans="1:4" x14ac:dyDescent="0.2">
      <c r="B9" t="s">
        <v>13</v>
      </c>
      <c r="C9" s="2">
        <v>39835</v>
      </c>
      <c r="D9" s="2">
        <v>39835</v>
      </c>
    </row>
    <row r="10" spans="1:4" x14ac:dyDescent="0.2">
      <c r="B10" t="s">
        <v>8</v>
      </c>
      <c r="C10" s="2">
        <v>12502</v>
      </c>
      <c r="D10" s="2">
        <v>12502</v>
      </c>
    </row>
    <row r="11" spans="1:4" x14ac:dyDescent="0.2">
      <c r="A11" t="s">
        <v>7</v>
      </c>
      <c r="C11" s="2"/>
      <c r="D11" s="2"/>
    </row>
    <row r="12" spans="1:4" x14ac:dyDescent="0.2">
      <c r="B12" t="s">
        <v>19</v>
      </c>
      <c r="C12" s="2">
        <v>34980</v>
      </c>
      <c r="D12" s="2">
        <v>34980</v>
      </c>
    </row>
    <row r="13" spans="1:4" x14ac:dyDescent="0.2">
      <c r="B13" t="s">
        <v>4</v>
      </c>
      <c r="C13" s="2">
        <v>7166</v>
      </c>
      <c r="D13" s="2">
        <v>7166</v>
      </c>
    </row>
    <row r="14" spans="1:4" x14ac:dyDescent="0.2">
      <c r="B14" t="s">
        <v>18</v>
      </c>
      <c r="C14" s="2">
        <v>36951</v>
      </c>
      <c r="D14" s="2">
        <v>36951</v>
      </c>
    </row>
    <row r="15" spans="1:4" x14ac:dyDescent="0.2">
      <c r="B15" t="s">
        <v>16</v>
      </c>
      <c r="C15" s="2">
        <v>37112</v>
      </c>
      <c r="D15" s="2">
        <v>37112</v>
      </c>
    </row>
    <row r="16" spans="1:4" x14ac:dyDescent="0.2">
      <c r="B16" t="s">
        <v>20</v>
      </c>
      <c r="C16" s="2">
        <v>63955</v>
      </c>
      <c r="D16" s="2">
        <v>63955</v>
      </c>
    </row>
    <row r="17" spans="1:4" x14ac:dyDescent="0.2">
      <c r="B17" t="s">
        <v>6</v>
      </c>
      <c r="C17" s="2">
        <v>9529</v>
      </c>
      <c r="D17" s="2">
        <v>9529</v>
      </c>
    </row>
    <row r="18" spans="1:4" x14ac:dyDescent="0.2">
      <c r="B18" t="s">
        <v>13</v>
      </c>
      <c r="C18" s="2">
        <v>46819</v>
      </c>
      <c r="D18" s="2">
        <v>46819</v>
      </c>
    </row>
    <row r="19" spans="1:4" x14ac:dyDescent="0.2">
      <c r="B19" t="s">
        <v>8</v>
      </c>
      <c r="C19" s="2">
        <v>54045</v>
      </c>
      <c r="D19" s="2">
        <v>54045</v>
      </c>
    </row>
    <row r="20" spans="1:4" x14ac:dyDescent="0.2">
      <c r="B20" t="s">
        <v>21</v>
      </c>
      <c r="C20" s="2">
        <v>42070</v>
      </c>
      <c r="D20" s="2">
        <v>42070</v>
      </c>
    </row>
    <row r="21" spans="1:4" x14ac:dyDescent="0.2">
      <c r="A21" t="s">
        <v>17</v>
      </c>
      <c r="C21" s="2"/>
      <c r="D21" s="2"/>
    </row>
    <row r="22" spans="1:4" x14ac:dyDescent="0.2">
      <c r="B22" t="s">
        <v>19</v>
      </c>
      <c r="C22" s="2">
        <v>49754</v>
      </c>
      <c r="D22" s="2">
        <v>49754</v>
      </c>
    </row>
    <row r="23" spans="1:4" x14ac:dyDescent="0.2">
      <c r="B23" t="s">
        <v>4</v>
      </c>
      <c r="C23" s="2">
        <v>26082</v>
      </c>
      <c r="D23" s="2">
        <v>26082</v>
      </c>
    </row>
    <row r="24" spans="1:4" x14ac:dyDescent="0.2">
      <c r="B24" t="s">
        <v>18</v>
      </c>
      <c r="C24" s="2">
        <v>29607</v>
      </c>
      <c r="D24" s="2">
        <v>29607</v>
      </c>
    </row>
    <row r="25" spans="1:4" x14ac:dyDescent="0.2">
      <c r="B25" t="s">
        <v>20</v>
      </c>
      <c r="C25" s="2">
        <v>6171</v>
      </c>
      <c r="D25" s="2">
        <v>6171</v>
      </c>
    </row>
    <row r="26" spans="1:4" x14ac:dyDescent="0.2">
      <c r="B26" t="s">
        <v>6</v>
      </c>
      <c r="C26" s="2">
        <v>67884</v>
      </c>
      <c r="D26" s="2">
        <v>67884</v>
      </c>
    </row>
    <row r="27" spans="1:4" x14ac:dyDescent="0.2">
      <c r="B27" t="s">
        <v>13</v>
      </c>
      <c r="C27" s="2">
        <v>10708</v>
      </c>
      <c r="D27" s="2">
        <v>10708</v>
      </c>
    </row>
    <row r="28" spans="1:4" x14ac:dyDescent="0.2">
      <c r="B28" t="s">
        <v>21</v>
      </c>
      <c r="C28" s="2">
        <v>44309</v>
      </c>
      <c r="D28" s="2">
        <v>44309</v>
      </c>
    </row>
    <row r="29" spans="1:4" x14ac:dyDescent="0.2">
      <c r="B29" t="s">
        <v>11</v>
      </c>
      <c r="C29" s="2">
        <v>10100</v>
      </c>
      <c r="D29" s="2">
        <v>10100</v>
      </c>
    </row>
    <row r="30" spans="1:4" x14ac:dyDescent="0.2">
      <c r="A30" t="s">
        <v>14</v>
      </c>
      <c r="C30" s="2"/>
      <c r="D30" s="2"/>
    </row>
    <row r="31" spans="1:4" x14ac:dyDescent="0.2">
      <c r="B31" t="s">
        <v>20</v>
      </c>
      <c r="C31" s="2">
        <v>6671</v>
      </c>
      <c r="D31" s="2">
        <v>6671</v>
      </c>
    </row>
    <row r="32" spans="1:4" x14ac:dyDescent="0.2">
      <c r="B32" t="s">
        <v>6</v>
      </c>
      <c r="C32" s="2">
        <v>47172</v>
      </c>
      <c r="D32" s="2">
        <v>47172</v>
      </c>
    </row>
    <row r="33" spans="1:4" x14ac:dyDescent="0.2">
      <c r="B33" t="s">
        <v>13</v>
      </c>
      <c r="C33" s="2">
        <v>48065</v>
      </c>
      <c r="D33" s="2">
        <v>48065</v>
      </c>
    </row>
    <row r="34" spans="1:4" x14ac:dyDescent="0.2">
      <c r="B34" t="s">
        <v>8</v>
      </c>
      <c r="C34" s="2">
        <v>86462</v>
      </c>
      <c r="D34" s="2">
        <v>86462</v>
      </c>
    </row>
    <row r="35" spans="1:4" x14ac:dyDescent="0.2">
      <c r="B35" t="s">
        <v>11</v>
      </c>
      <c r="C35" s="2">
        <v>17713</v>
      </c>
      <c r="D35" s="2">
        <v>17713</v>
      </c>
    </row>
    <row r="36" spans="1:4" x14ac:dyDescent="0.2">
      <c r="A36" t="s">
        <v>10</v>
      </c>
      <c r="C36" s="2"/>
      <c r="D36" s="2"/>
    </row>
    <row r="37" spans="1:4" x14ac:dyDescent="0.2">
      <c r="B37" t="s">
        <v>19</v>
      </c>
      <c r="C37" s="2">
        <v>42541</v>
      </c>
      <c r="D37" s="2">
        <v>42541</v>
      </c>
    </row>
    <row r="38" spans="1:4" x14ac:dyDescent="0.2">
      <c r="B38" t="s">
        <v>20</v>
      </c>
      <c r="C38" s="2">
        <v>50394</v>
      </c>
      <c r="D38" s="2">
        <v>50394</v>
      </c>
    </row>
    <row r="39" spans="1:4" x14ac:dyDescent="0.2">
      <c r="B39" t="s">
        <v>6</v>
      </c>
      <c r="C39" s="2">
        <v>74929</v>
      </c>
      <c r="D39" s="2">
        <v>74929</v>
      </c>
    </row>
    <row r="40" spans="1:4" x14ac:dyDescent="0.2">
      <c r="B40" t="s">
        <v>13</v>
      </c>
      <c r="C40" s="2">
        <v>21356</v>
      </c>
      <c r="D40" s="2">
        <v>21356</v>
      </c>
    </row>
    <row r="41" spans="1:4" x14ac:dyDescent="0.2">
      <c r="B41" t="s">
        <v>8</v>
      </c>
      <c r="C41" s="2">
        <v>26753</v>
      </c>
      <c r="D41" s="2">
        <v>26753</v>
      </c>
    </row>
    <row r="42" spans="1:4" x14ac:dyDescent="0.2">
      <c r="B42" t="s">
        <v>11</v>
      </c>
      <c r="C42" s="2">
        <v>64782</v>
      </c>
      <c r="D42" s="2">
        <v>64782</v>
      </c>
    </row>
    <row r="43" spans="1:4" x14ac:dyDescent="0.2">
      <c r="A43" t="s">
        <v>12</v>
      </c>
      <c r="C43" s="2"/>
      <c r="D43" s="2"/>
    </row>
    <row r="44" spans="1:4" x14ac:dyDescent="0.2">
      <c r="B44" t="s">
        <v>4</v>
      </c>
      <c r="C44" s="2">
        <v>44247</v>
      </c>
      <c r="D44" s="2">
        <v>44247</v>
      </c>
    </row>
    <row r="45" spans="1:4" x14ac:dyDescent="0.2">
      <c r="B45" t="s">
        <v>18</v>
      </c>
      <c r="C45" s="2">
        <v>44060</v>
      </c>
      <c r="D45" s="2">
        <v>44060</v>
      </c>
    </row>
    <row r="46" spans="1:4" x14ac:dyDescent="0.2">
      <c r="B46" t="s">
        <v>20</v>
      </c>
      <c r="C46" s="2">
        <v>44435</v>
      </c>
      <c r="D46" s="2">
        <v>44435</v>
      </c>
    </row>
    <row r="47" spans="1:4" x14ac:dyDescent="0.2">
      <c r="B47" t="s">
        <v>6</v>
      </c>
      <c r="C47" s="2">
        <v>7690</v>
      </c>
      <c r="D47" s="2">
        <v>7690</v>
      </c>
    </row>
    <row r="48" spans="1:4" x14ac:dyDescent="0.2">
      <c r="B48" t="s">
        <v>13</v>
      </c>
      <c r="C48" s="2">
        <v>10444</v>
      </c>
      <c r="D48" s="2">
        <v>10444</v>
      </c>
    </row>
    <row r="49" spans="1:4" x14ac:dyDescent="0.2">
      <c r="B49" t="s">
        <v>8</v>
      </c>
      <c r="C49" s="2">
        <v>28600</v>
      </c>
      <c r="D49" s="2">
        <v>28600</v>
      </c>
    </row>
    <row r="50" spans="1:4" x14ac:dyDescent="0.2">
      <c r="B50" t="s">
        <v>11</v>
      </c>
      <c r="C50" s="2">
        <v>13093</v>
      </c>
      <c r="D50" s="2">
        <v>13093</v>
      </c>
    </row>
    <row r="51" spans="1:4" x14ac:dyDescent="0.2">
      <c r="A51" t="s">
        <v>5</v>
      </c>
      <c r="C51" s="2"/>
      <c r="D51" s="2"/>
    </row>
    <row r="52" spans="1:4" x14ac:dyDescent="0.2">
      <c r="B52" t="s">
        <v>19</v>
      </c>
      <c r="C52" s="2">
        <v>34211</v>
      </c>
      <c r="D52" s="2">
        <v>34211</v>
      </c>
    </row>
    <row r="53" spans="1:4" x14ac:dyDescent="0.2">
      <c r="B53" t="s">
        <v>4</v>
      </c>
      <c r="C53" s="2">
        <v>66787</v>
      </c>
      <c r="D53" s="2">
        <v>66787</v>
      </c>
    </row>
    <row r="54" spans="1:4" x14ac:dyDescent="0.2">
      <c r="B54" t="s">
        <v>18</v>
      </c>
      <c r="C54" s="2">
        <v>49975</v>
      </c>
      <c r="D54" s="2">
        <v>49975</v>
      </c>
    </row>
    <row r="55" spans="1:4" x14ac:dyDescent="0.2">
      <c r="B55" t="s">
        <v>16</v>
      </c>
      <c r="C55" s="2">
        <v>23530</v>
      </c>
      <c r="D55" s="2">
        <v>23530</v>
      </c>
    </row>
    <row r="56" spans="1:4" x14ac:dyDescent="0.2">
      <c r="B56" t="s">
        <v>6</v>
      </c>
      <c r="C56" s="2">
        <v>51313</v>
      </c>
      <c r="D56" s="2">
        <v>51313</v>
      </c>
    </row>
    <row r="57" spans="1:4" x14ac:dyDescent="0.2">
      <c r="B57" t="s">
        <v>13</v>
      </c>
      <c r="C57" s="2">
        <v>34085</v>
      </c>
      <c r="D57" s="2">
        <v>34085</v>
      </c>
    </row>
    <row r="58" spans="1:4" x14ac:dyDescent="0.2">
      <c r="B58" t="s">
        <v>8</v>
      </c>
      <c r="C58" s="2">
        <v>15183</v>
      </c>
      <c r="D58" s="2">
        <v>15183</v>
      </c>
    </row>
    <row r="59" spans="1:4" x14ac:dyDescent="0.2">
      <c r="B59" t="s">
        <v>11</v>
      </c>
      <c r="C59" s="2">
        <v>20175</v>
      </c>
      <c r="D59" s="2">
        <v>20175</v>
      </c>
    </row>
    <row r="60" spans="1:4" x14ac:dyDescent="0.2">
      <c r="A60" t="s">
        <v>15</v>
      </c>
      <c r="C60" s="2"/>
      <c r="D60" s="2"/>
    </row>
    <row r="61" spans="1:4" x14ac:dyDescent="0.2">
      <c r="B61" t="s">
        <v>19</v>
      </c>
      <c r="C61" s="2">
        <v>88153</v>
      </c>
      <c r="D61" s="2">
        <v>88153</v>
      </c>
    </row>
    <row r="62" spans="1:4" x14ac:dyDescent="0.2">
      <c r="B62" t="s">
        <v>4</v>
      </c>
      <c r="C62" s="2">
        <v>63577</v>
      </c>
      <c r="D62" s="2">
        <v>63577</v>
      </c>
    </row>
    <row r="63" spans="1:4" x14ac:dyDescent="0.2">
      <c r="B63" t="s">
        <v>8</v>
      </c>
      <c r="C63" s="2">
        <v>40752</v>
      </c>
      <c r="D63" s="2">
        <v>40752</v>
      </c>
    </row>
    <row r="64" spans="1:4" x14ac:dyDescent="0.2">
      <c r="B64" t="s">
        <v>11</v>
      </c>
      <c r="C64" s="2">
        <v>18307</v>
      </c>
      <c r="D64" s="2">
        <v>18307</v>
      </c>
    </row>
    <row r="65" spans="1:4" x14ac:dyDescent="0.2">
      <c r="A65" t="s">
        <v>3</v>
      </c>
      <c r="C65" s="2"/>
      <c r="D65" s="2"/>
    </row>
    <row r="66" spans="1:4" x14ac:dyDescent="0.2">
      <c r="B66" t="s">
        <v>19</v>
      </c>
      <c r="C66" s="2">
        <v>20945</v>
      </c>
      <c r="D66" s="2">
        <v>20945</v>
      </c>
    </row>
    <row r="67" spans="1:4" x14ac:dyDescent="0.2">
      <c r="B67" t="s">
        <v>4</v>
      </c>
      <c r="C67" s="2">
        <v>84539</v>
      </c>
      <c r="D67" s="2">
        <v>84539</v>
      </c>
    </row>
    <row r="68" spans="1:4" x14ac:dyDescent="0.2">
      <c r="B68" t="s">
        <v>18</v>
      </c>
      <c r="C68" s="2">
        <v>35331</v>
      </c>
      <c r="D68" s="2">
        <v>35331</v>
      </c>
    </row>
    <row r="69" spans="1:4" x14ac:dyDescent="0.2">
      <c r="B69" t="s">
        <v>20</v>
      </c>
      <c r="C69" s="2">
        <v>46784</v>
      </c>
      <c r="D69" s="2">
        <v>46784</v>
      </c>
    </row>
    <row r="70" spans="1:4" x14ac:dyDescent="0.2">
      <c r="B70" t="s">
        <v>6</v>
      </c>
      <c r="C70" s="2">
        <v>42178</v>
      </c>
      <c r="D70" s="2">
        <v>42178</v>
      </c>
    </row>
    <row r="71" spans="1:4" x14ac:dyDescent="0.2">
      <c r="B71" t="s">
        <v>21</v>
      </c>
      <c r="C71" s="2">
        <v>72424</v>
      </c>
      <c r="D71" s="2">
        <v>72424</v>
      </c>
    </row>
    <row r="72" spans="1:4" x14ac:dyDescent="0.2">
      <c r="B72" t="s">
        <v>11</v>
      </c>
      <c r="C72" s="2">
        <v>758</v>
      </c>
      <c r="D72" s="2">
        <v>758</v>
      </c>
    </row>
    <row r="73" spans="1:4" x14ac:dyDescent="0.2">
      <c r="A73" t="s">
        <v>22</v>
      </c>
      <c r="C73" s="2">
        <v>326567</v>
      </c>
      <c r="D73" s="2">
        <v>326567</v>
      </c>
    </row>
    <row r="74" spans="1:4" x14ac:dyDescent="0.2">
      <c r="A74" t="s">
        <v>26</v>
      </c>
      <c r="C74" s="2">
        <v>2594967</v>
      </c>
      <c r="D74" s="2">
        <v>2594967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0233-082B-4865-94BD-C302863011F8}">
  <dimension ref="B3:O29"/>
  <sheetViews>
    <sheetView tabSelected="1" topLeftCell="F11" workbookViewId="0">
      <selection activeCell="O30" sqref="O30"/>
    </sheetView>
  </sheetViews>
  <sheetFormatPr defaultRowHeight="14.25" x14ac:dyDescent="0.2"/>
  <cols>
    <col min="2" max="2" width="10" customWidth="1"/>
    <col min="3" max="3" width="10.875" customWidth="1"/>
    <col min="4" max="4" width="17.125" bestFit="1" customWidth="1"/>
    <col min="5" max="5" width="17.375" customWidth="1"/>
    <col min="6" max="6" width="18.5" bestFit="1" customWidth="1"/>
    <col min="7" max="7" width="7.25" bestFit="1" customWidth="1"/>
    <col min="8" max="8" width="10.125" customWidth="1"/>
    <col min="9" max="9" width="17.25" customWidth="1"/>
    <col min="10" max="10" width="14.875" customWidth="1"/>
    <col min="11" max="11" width="16.25" customWidth="1"/>
    <col min="12" max="12" width="9.625" bestFit="1" customWidth="1"/>
    <col min="15" max="15" width="13.125" bestFit="1" customWidth="1"/>
    <col min="16" max="24" width="16.125" bestFit="1" customWidth="1"/>
    <col min="25" max="25" width="11.375" bestFit="1" customWidth="1"/>
    <col min="26" max="27" width="4.875" bestFit="1" customWidth="1"/>
    <col min="28" max="44" width="5.875" bestFit="1" customWidth="1"/>
    <col min="45" max="45" width="11.375" bestFit="1" customWidth="1"/>
  </cols>
  <sheetData>
    <row r="3" spans="2:15" x14ac:dyDescent="0.2">
      <c r="F3" s="14"/>
    </row>
    <row r="6" spans="2:15" x14ac:dyDescent="0.2">
      <c r="C6" s="10" t="s">
        <v>41</v>
      </c>
      <c r="D6" s="11" t="s">
        <v>42</v>
      </c>
      <c r="E6" s="11" t="s">
        <v>43</v>
      </c>
      <c r="F6" s="11" t="s">
        <v>44</v>
      </c>
      <c r="G6" s="11" t="s">
        <v>45</v>
      </c>
      <c r="H6" s="11" t="s">
        <v>46</v>
      </c>
      <c r="I6" s="11" t="s">
        <v>47</v>
      </c>
      <c r="J6" s="11" t="s">
        <v>48</v>
      </c>
      <c r="K6" s="11" t="s">
        <v>49</v>
      </c>
      <c r="L6" s="9" t="s">
        <v>1</v>
      </c>
    </row>
    <row r="7" spans="2:15" x14ac:dyDescent="0.2">
      <c r="C7" s="4">
        <v>1</v>
      </c>
      <c r="D7" s="15">
        <v>44576</v>
      </c>
      <c r="E7" s="3" t="s">
        <v>27</v>
      </c>
      <c r="F7" s="3" t="s">
        <v>50</v>
      </c>
      <c r="G7" s="3" t="s">
        <v>51</v>
      </c>
      <c r="H7" s="3">
        <v>2</v>
      </c>
      <c r="I7" s="3">
        <v>250</v>
      </c>
      <c r="J7" s="3">
        <v>500</v>
      </c>
      <c r="K7" s="3" t="s">
        <v>52</v>
      </c>
      <c r="L7" s="5" t="s">
        <v>4</v>
      </c>
    </row>
    <row r="8" spans="2:15" x14ac:dyDescent="0.2">
      <c r="C8" s="4">
        <v>2</v>
      </c>
      <c r="D8" s="15">
        <v>44642</v>
      </c>
      <c r="E8" s="3" t="s">
        <v>53</v>
      </c>
      <c r="F8" s="3" t="s">
        <v>54</v>
      </c>
      <c r="G8" s="3" t="s">
        <v>55</v>
      </c>
      <c r="H8" s="3">
        <v>1</v>
      </c>
      <c r="I8" s="3">
        <v>450</v>
      </c>
      <c r="J8" s="3">
        <v>450</v>
      </c>
      <c r="K8" s="3" t="s">
        <v>56</v>
      </c>
      <c r="L8" s="5" t="s">
        <v>19</v>
      </c>
    </row>
    <row r="9" spans="2:15" x14ac:dyDescent="0.2">
      <c r="C9" s="4">
        <v>3</v>
      </c>
      <c r="D9" s="15">
        <v>44752</v>
      </c>
      <c r="E9" s="3" t="s">
        <v>31</v>
      </c>
      <c r="F9" s="3" t="s">
        <v>57</v>
      </c>
      <c r="G9" s="3" t="s">
        <v>58</v>
      </c>
      <c r="H9" s="3">
        <v>3</v>
      </c>
      <c r="I9" s="3">
        <v>200</v>
      </c>
      <c r="J9" s="3">
        <v>600</v>
      </c>
      <c r="K9" s="3" t="s">
        <v>59</v>
      </c>
      <c r="L9" s="5" t="s">
        <v>20</v>
      </c>
    </row>
    <row r="10" spans="2:15" x14ac:dyDescent="0.2">
      <c r="B10" s="14"/>
      <c r="C10" s="4">
        <v>4</v>
      </c>
      <c r="D10" s="15">
        <v>44870</v>
      </c>
      <c r="E10" s="3" t="s">
        <v>30</v>
      </c>
      <c r="F10" s="3" t="s">
        <v>60</v>
      </c>
      <c r="G10" s="3" t="s">
        <v>55</v>
      </c>
      <c r="H10" s="3">
        <v>2</v>
      </c>
      <c r="I10" s="3">
        <v>500</v>
      </c>
      <c r="J10" s="3">
        <v>1000</v>
      </c>
      <c r="K10" s="3" t="s">
        <v>52</v>
      </c>
      <c r="L10" s="5" t="s">
        <v>61</v>
      </c>
    </row>
    <row r="11" spans="2:15" x14ac:dyDescent="0.2">
      <c r="B11" s="14"/>
      <c r="C11" s="4">
        <v>5</v>
      </c>
      <c r="D11" s="15">
        <v>44971</v>
      </c>
      <c r="E11" s="3" t="s">
        <v>33</v>
      </c>
      <c r="F11" s="3" t="s">
        <v>62</v>
      </c>
      <c r="G11" s="3" t="s">
        <v>51</v>
      </c>
      <c r="H11" s="3">
        <v>1</v>
      </c>
      <c r="I11" s="3">
        <v>300</v>
      </c>
      <c r="J11" s="3">
        <v>300</v>
      </c>
      <c r="K11" s="3" t="s">
        <v>56</v>
      </c>
      <c r="L11" s="5" t="s">
        <v>16</v>
      </c>
    </row>
    <row r="12" spans="2:15" x14ac:dyDescent="0.2">
      <c r="B12" s="14"/>
      <c r="C12" s="4">
        <v>6</v>
      </c>
      <c r="D12" s="15">
        <v>45034</v>
      </c>
      <c r="E12" s="3" t="s">
        <v>63</v>
      </c>
      <c r="F12" s="3" t="s">
        <v>64</v>
      </c>
      <c r="G12" s="3" t="s">
        <v>55</v>
      </c>
      <c r="H12" s="3">
        <v>2</v>
      </c>
      <c r="I12" s="3">
        <v>550</v>
      </c>
      <c r="J12" s="3">
        <v>1100</v>
      </c>
      <c r="K12" s="3" t="s">
        <v>52</v>
      </c>
      <c r="L12" s="5" t="s">
        <v>6</v>
      </c>
      <c r="O12" s="1" t="s">
        <v>40</v>
      </c>
    </row>
    <row r="13" spans="2:15" x14ac:dyDescent="0.2">
      <c r="B13" s="14"/>
      <c r="C13" s="4">
        <v>7</v>
      </c>
      <c r="D13" s="15">
        <v>45086</v>
      </c>
      <c r="E13" s="3" t="s">
        <v>29</v>
      </c>
      <c r="F13" s="3" t="s">
        <v>50</v>
      </c>
      <c r="G13" s="3" t="s">
        <v>58</v>
      </c>
      <c r="H13" s="3">
        <v>1</v>
      </c>
      <c r="I13" s="3">
        <v>180</v>
      </c>
      <c r="J13" s="3">
        <v>180</v>
      </c>
      <c r="K13" s="3" t="s">
        <v>59</v>
      </c>
      <c r="L13" s="5" t="s">
        <v>8</v>
      </c>
      <c r="O13" s="12" t="s">
        <v>80</v>
      </c>
    </row>
    <row r="14" spans="2:15" x14ac:dyDescent="0.2">
      <c r="B14" s="14"/>
      <c r="C14" s="4">
        <v>8</v>
      </c>
      <c r="D14" s="15">
        <v>45165</v>
      </c>
      <c r="E14" s="3" t="s">
        <v>28</v>
      </c>
      <c r="F14" s="3" t="s">
        <v>54</v>
      </c>
      <c r="G14" s="3" t="s">
        <v>51</v>
      </c>
      <c r="H14" s="3">
        <v>2</v>
      </c>
      <c r="I14" s="3">
        <v>350</v>
      </c>
      <c r="J14" s="3">
        <v>700</v>
      </c>
      <c r="K14" s="3" t="s">
        <v>56</v>
      </c>
      <c r="L14" s="5" t="s">
        <v>13</v>
      </c>
      <c r="O14" s="12" t="s">
        <v>81</v>
      </c>
    </row>
    <row r="15" spans="2:15" x14ac:dyDescent="0.2">
      <c r="B15" s="14"/>
      <c r="C15" s="4">
        <v>9</v>
      </c>
      <c r="D15" s="15">
        <v>45211</v>
      </c>
      <c r="E15" s="3" t="s">
        <v>35</v>
      </c>
      <c r="F15" s="3" t="s">
        <v>57</v>
      </c>
      <c r="G15" s="3" t="s">
        <v>55</v>
      </c>
      <c r="H15" s="3">
        <v>1</v>
      </c>
      <c r="I15" s="3">
        <v>480</v>
      </c>
      <c r="J15" s="3">
        <v>480</v>
      </c>
      <c r="K15" s="3" t="s">
        <v>52</v>
      </c>
      <c r="L15" s="5" t="s">
        <v>11</v>
      </c>
      <c r="O15" s="12" t="s">
        <v>82</v>
      </c>
    </row>
    <row r="16" spans="2:15" x14ac:dyDescent="0.2">
      <c r="B16" s="14"/>
      <c r="C16" s="4">
        <v>10</v>
      </c>
      <c r="D16" s="15">
        <v>45291</v>
      </c>
      <c r="E16" s="3" t="s">
        <v>32</v>
      </c>
      <c r="F16" s="3" t="s">
        <v>60</v>
      </c>
      <c r="G16" s="3" t="s">
        <v>51</v>
      </c>
      <c r="H16" s="3">
        <v>3</v>
      </c>
      <c r="I16" s="3">
        <v>400</v>
      </c>
      <c r="J16" s="3">
        <v>1200</v>
      </c>
      <c r="K16" s="3" t="s">
        <v>56</v>
      </c>
      <c r="L16" s="5" t="s">
        <v>65</v>
      </c>
      <c r="O16" s="13" t="s">
        <v>84</v>
      </c>
    </row>
    <row r="17" spans="2:15" x14ac:dyDescent="0.2">
      <c r="B17" s="14"/>
      <c r="C17" s="4">
        <v>11</v>
      </c>
      <c r="D17" s="15">
        <v>45298</v>
      </c>
      <c r="E17" s="3" t="s">
        <v>39</v>
      </c>
      <c r="F17" s="3" t="s">
        <v>62</v>
      </c>
      <c r="G17" s="3" t="s">
        <v>58</v>
      </c>
      <c r="H17" s="3">
        <v>2</v>
      </c>
      <c r="I17" s="3">
        <v>220</v>
      </c>
      <c r="J17" s="3">
        <v>440</v>
      </c>
      <c r="K17" s="3" t="s">
        <v>59</v>
      </c>
      <c r="L17" s="5" t="s">
        <v>66</v>
      </c>
      <c r="O17" s="13" t="s">
        <v>87</v>
      </c>
    </row>
    <row r="18" spans="2:15" x14ac:dyDescent="0.2">
      <c r="B18" s="14"/>
      <c r="C18" s="4">
        <v>12</v>
      </c>
      <c r="D18" s="15">
        <v>45370</v>
      </c>
      <c r="E18" s="3" t="s">
        <v>67</v>
      </c>
      <c r="F18" s="3" t="s">
        <v>64</v>
      </c>
      <c r="G18" s="3" t="s">
        <v>55</v>
      </c>
      <c r="H18" s="3">
        <v>1</v>
      </c>
      <c r="I18" s="3">
        <v>560</v>
      </c>
      <c r="J18" s="3">
        <v>560</v>
      </c>
      <c r="K18" s="3" t="s">
        <v>52</v>
      </c>
      <c r="L18" s="5" t="s">
        <v>68</v>
      </c>
      <c r="O18" s="13" t="s">
        <v>85</v>
      </c>
    </row>
    <row r="19" spans="2:15" x14ac:dyDescent="0.2">
      <c r="B19" s="14"/>
      <c r="C19" s="4">
        <v>13</v>
      </c>
      <c r="D19" s="15">
        <v>45437</v>
      </c>
      <c r="E19" s="3" t="s">
        <v>36</v>
      </c>
      <c r="F19" s="3" t="s">
        <v>50</v>
      </c>
      <c r="G19" s="3" t="s">
        <v>51</v>
      </c>
      <c r="H19" s="3">
        <v>2</v>
      </c>
      <c r="I19" s="3">
        <v>260</v>
      </c>
      <c r="J19" s="3">
        <v>520</v>
      </c>
      <c r="K19" s="3" t="s">
        <v>56</v>
      </c>
      <c r="L19" s="5" t="s">
        <v>69</v>
      </c>
      <c r="O19" s="13" t="s">
        <v>86</v>
      </c>
    </row>
    <row r="20" spans="2:15" x14ac:dyDescent="0.2">
      <c r="B20" s="14"/>
      <c r="C20" s="4">
        <v>14</v>
      </c>
      <c r="D20" s="15">
        <v>45481</v>
      </c>
      <c r="E20" s="3" t="s">
        <v>70</v>
      </c>
      <c r="F20" s="3" t="s">
        <v>54</v>
      </c>
      <c r="G20" s="3" t="s">
        <v>58</v>
      </c>
      <c r="H20" s="3">
        <v>3</v>
      </c>
      <c r="I20" s="3">
        <v>210</v>
      </c>
      <c r="J20" s="3">
        <v>630</v>
      </c>
      <c r="K20" s="3" t="s">
        <v>59</v>
      </c>
      <c r="L20" s="5" t="s">
        <v>71</v>
      </c>
      <c r="O20" s="12" t="s">
        <v>83</v>
      </c>
    </row>
    <row r="21" spans="2:15" x14ac:dyDescent="0.2">
      <c r="B21" s="14"/>
      <c r="C21" s="4">
        <v>15</v>
      </c>
      <c r="D21" s="15">
        <v>45551</v>
      </c>
      <c r="E21" s="3" t="s">
        <v>72</v>
      </c>
      <c r="F21" s="3" t="s">
        <v>57</v>
      </c>
      <c r="G21" s="3" t="s">
        <v>51</v>
      </c>
      <c r="H21" s="3">
        <v>1</v>
      </c>
      <c r="I21" s="3">
        <v>330</v>
      </c>
      <c r="J21" s="3">
        <v>330</v>
      </c>
      <c r="K21" s="3" t="s">
        <v>52</v>
      </c>
      <c r="L21" s="5" t="s">
        <v>73</v>
      </c>
      <c r="O21" s="12" t="s">
        <v>26</v>
      </c>
    </row>
    <row r="22" spans="2:15" x14ac:dyDescent="0.2">
      <c r="B22" s="14"/>
      <c r="C22" s="4">
        <v>16</v>
      </c>
      <c r="D22" s="15">
        <v>45625</v>
      </c>
      <c r="E22" s="3" t="s">
        <v>74</v>
      </c>
      <c r="F22" s="3" t="s">
        <v>60</v>
      </c>
      <c r="G22" s="3" t="s">
        <v>55</v>
      </c>
      <c r="H22" s="3">
        <v>2</v>
      </c>
      <c r="I22" s="3">
        <v>520</v>
      </c>
      <c r="J22" s="3">
        <v>1040</v>
      </c>
      <c r="K22" s="3" t="s">
        <v>56</v>
      </c>
      <c r="L22" s="5" t="s">
        <v>21</v>
      </c>
    </row>
    <row r="23" spans="2:15" x14ac:dyDescent="0.2">
      <c r="B23" s="14"/>
      <c r="C23" s="4">
        <v>17</v>
      </c>
      <c r="D23" s="15">
        <v>45668</v>
      </c>
      <c r="E23" s="3" t="s">
        <v>34</v>
      </c>
      <c r="F23" s="3" t="s">
        <v>62</v>
      </c>
      <c r="G23" s="3" t="s">
        <v>51</v>
      </c>
      <c r="H23" s="3">
        <v>2</v>
      </c>
      <c r="I23" s="3">
        <v>310</v>
      </c>
      <c r="J23" s="3">
        <v>620</v>
      </c>
      <c r="K23" s="3" t="s">
        <v>52</v>
      </c>
      <c r="L23" s="5" t="s">
        <v>75</v>
      </c>
    </row>
    <row r="24" spans="2:15" x14ac:dyDescent="0.2">
      <c r="B24" s="14"/>
      <c r="C24" s="4">
        <v>18</v>
      </c>
      <c r="D24" s="15">
        <v>45719</v>
      </c>
      <c r="E24" s="3" t="s">
        <v>38</v>
      </c>
      <c r="F24" s="3" t="s">
        <v>64</v>
      </c>
      <c r="G24" s="3" t="s">
        <v>58</v>
      </c>
      <c r="H24" s="3">
        <v>1</v>
      </c>
      <c r="I24" s="3">
        <v>240</v>
      </c>
      <c r="J24" s="3">
        <v>240</v>
      </c>
      <c r="K24" s="3" t="s">
        <v>59</v>
      </c>
      <c r="L24" s="5" t="s">
        <v>76</v>
      </c>
    </row>
    <row r="25" spans="2:15" x14ac:dyDescent="0.2">
      <c r="B25" s="14"/>
      <c r="C25" s="4">
        <v>19</v>
      </c>
      <c r="D25" s="15">
        <v>45828</v>
      </c>
      <c r="E25" s="3" t="s">
        <v>77</v>
      </c>
      <c r="F25" s="3" t="s">
        <v>50</v>
      </c>
      <c r="G25" s="3" t="s">
        <v>55</v>
      </c>
      <c r="H25" s="3">
        <v>2</v>
      </c>
      <c r="I25" s="3">
        <v>480</v>
      </c>
      <c r="J25" s="3">
        <v>960</v>
      </c>
      <c r="K25" s="3" t="s">
        <v>56</v>
      </c>
      <c r="L25" s="5" t="s">
        <v>78</v>
      </c>
    </row>
    <row r="26" spans="2:15" x14ac:dyDescent="0.2">
      <c r="B26" s="14"/>
      <c r="C26" s="6">
        <v>20</v>
      </c>
      <c r="D26" s="16">
        <v>45935</v>
      </c>
      <c r="E26" s="7" t="s">
        <v>37</v>
      </c>
      <c r="F26" s="7" t="s">
        <v>54</v>
      </c>
      <c r="G26" s="7" t="s">
        <v>51</v>
      </c>
      <c r="H26" s="7">
        <v>1</v>
      </c>
      <c r="I26" s="7">
        <v>360</v>
      </c>
      <c r="J26" s="7">
        <v>360</v>
      </c>
      <c r="K26" s="7" t="s">
        <v>52</v>
      </c>
      <c r="L26" s="8" t="s">
        <v>79</v>
      </c>
    </row>
    <row r="27" spans="2:15" x14ac:dyDescent="0.2">
      <c r="B27" s="14"/>
    </row>
    <row r="28" spans="2:15" x14ac:dyDescent="0.2">
      <c r="B28" s="14"/>
    </row>
    <row r="29" spans="2:15" x14ac:dyDescent="0.2">
      <c r="B29" s="14"/>
    </row>
  </sheetData>
  <pageMargins left="0.7" right="0.7" top="0.75" bottom="0.75" header="0.3" footer="0.3"/>
  <drawing r:id="rId2"/>
  <tableParts count="1">
    <tablePart r:id="rId3"/>
  </tableParts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EAFF95-13FE-4ED6-9293-0AA9C13CF2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alsundkar</dc:creator>
  <cp:lastModifiedBy>vipul alsundkar</cp:lastModifiedBy>
  <dcterms:created xsi:type="dcterms:W3CDTF">2025-12-07T11:29:50Z</dcterms:created>
  <dcterms:modified xsi:type="dcterms:W3CDTF">2026-01-03T11:56:21Z</dcterms:modified>
</cp:coreProperties>
</file>